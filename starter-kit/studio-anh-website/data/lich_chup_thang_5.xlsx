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22" documentId="11_0EFBF1D90FA3BB7228E5EB3F5B7DA9F1F9300E71" xr6:coauthVersionLast="47" xr6:coauthVersionMax="47" xr10:uidLastSave="{E7BA58DF-3E62-4888-8789-24CAC34371A9}"/>
  <bookViews>
    <workbookView xWindow="0" yWindow="0" windowWidth="0" windowHeight="0" xr2:uid="{00000000-000D-0000-FFFF-FFFF00000000}"/>
  </bookViews>
  <sheets>
    <sheet name="LichChup" sheetId="1" r:id="rId1"/>
    <sheet name="GoiChup" sheetId="2" r:id="rId2"/>
  </sheets>
  <definedNames>
    <definedName name="_xlnm._FilterDatabase" localSheetId="0" hidden="1">LichChup!$A$1:$G$16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<sst xmlns="http://schemas.openxmlformats.org/spreadsheetml/2006/main" count="69" uniqueCount="51">
  <si>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ma_lc</t>
  </si>
  <si>
    <t>ngay_chup</t>
  </si>
  <si>
    <t>ma_gc</t>
  </si>
  <si>
    <t>so_buoi</t>
  </si>
  <si>
    <t>ten_goi_chup</t>
  </si>
  <si>
    <t>gia_goi</t>
  </si>
  <si>
    <t>tien_chup</t>
  </si>
  <si>
    <t>LC001</t>
  </si>
  <si>
    <t>2026-05-01</t>
  </si>
  <si>
    <t>CN01</t>
  </si>
  <si>
    <t>LC002</t>
  </si>
  <si>
    <t>2026-05-02</t>
  </si>
  <si>
    <t>CT01</t>
  </si>
  <si>
    <t>LC003</t>
  </si>
  <si>
    <t>2026-05-03</t>
  </si>
  <si>
    <t>CB01</t>
  </si>
  <si>
    <t>LC004</t>
  </si>
  <si>
    <t>2026-05-04</t>
  </si>
  <si>
    <t>LC005</t>
  </si>
  <si>
    <t>2026-05-05</t>
  </si>
  <si>
    <t>LC006</t>
  </si>
  <si>
    <t>2026-05-06</t>
  </si>
  <si>
    <t>LC007</t>
  </si>
  <si>
    <t>2026-05-07</t>
  </si>
  <si>
    <t>CG01</t>
  </si>
  <si>
    <t>LC008</t>
  </si>
  <si>
    <t>2026-05-08</t>
  </si>
  <si>
    <t>LC009</t>
  </si>
  <si>
    <t>2026-05-09</t>
  </si>
  <si>
    <t>CK01</t>
  </si>
  <si>
    <t>LC010</t>
  </si>
  <si>
    <t>2026-05-10</t>
  </si>
  <si>
    <t>LC011</t>
  </si>
  <si>
    <t>2026-05-11</t>
  </si>
  <si>
    <t>CS01</t>
  </si>
  <si>
    <t>LC012</t>
  </si>
  <si>
    <t>2026-05-12</t>
  </si>
  <si>
    <t>LC013</t>
  </si>
  <si>
    <t>2026-05-13</t>
  </si>
  <si>
    <t>CC01</t>
  </si>
  <si>
    <t>LC014</t>
  </si>
  <si>
    <t>2026-05-14</t>
  </si>
  <si>
    <t>LC015</t>
  </si>
  <si>
    <t>2026-05-15</t>
  </si>
  <si>
    <t>Chup chan dung</t>
  </si>
  <si>
    <t>Chup ky yeu lop</t>
  </si>
  <si>
    <t>Chup gia dinh</t>
  </si>
  <si>
    <t>Chup san pham</t>
  </si>
  <si>
    <t>Chup anh the</t>
  </si>
  <si>
    <t>Chup be yeu</t>
  </si>
  <si>
    <t>Chup cuoi trong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</si>
</sst>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2" sqref="G2"/>
    </sheetView>
  </sheetViews>
  <sheetFormatPr defaultRowHeight="15"/>
  <cols>
    <col min="1" max="4" width="15" customWidth="1"/>
    <col min="5" max="5" width="21.28515625" customWidth="1"/>
    <col min="6" max="6" width="14.42578125" customWidth="1"/>
    <col min="7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>
      <c r="A2" t="s">
        <v>7</v>
      </c>
      <c r="B2" t="s">
        <v>8</v>
      </c>
      <c r="C2" t="s">
        <v>9</v>
      </c>
      <c r="D2">
        <v>2</v>
      </c>
      <c r="E2" t="str">
        <f>VLOOKUP(C2,GoiChup!$A$1:$C$8,2,FALSE)</f>
        <v>Chup chan dung</v>
      </c>
      <c r="F2">
        <f>VLOOKUP(C2,GoiChup!$A$1:$C$8,3,FALSE)</f>
        <v>800000</v>
      </c>
      <c r="G2">
        <f>F2*D2</f>
        <v>1600000</v>
      </c>
    </row>
    <row r="3" spans="1:7" hidden="1">
      <c r="A3" t="s">
        <v>10</v>
      </c>
      <c r="B3" t="s">
        <v>11</v>
      </c>
      <c r="C3" t="s">
        <v>12</v>
      </c>
      <c r="D3">
        <v>5</v>
      </c>
      <c r="E3" t="str">
        <f>VLOOKUP(C3,GoiChup!$A$1:$C$8,2,FALSE)</f>
        <v>Chup anh the</v>
      </c>
      <c r="F3">
        <f>VLOOKUP(C3,GoiChup!$A$1:$C$8,3,FALSE)</f>
        <v>50000</v>
      </c>
      <c r="G3">
        <f t="shared" ref="G3:G16" si="0">F3*D3</f>
        <v>250000</v>
      </c>
    </row>
    <row r="4" spans="1:7" hidden="1">
      <c r="A4" t="s">
        <v>13</v>
      </c>
      <c r="B4" t="s">
        <v>14</v>
      </c>
      <c r="C4" t="s">
        <v>15</v>
      </c>
      <c r="D4">
        <v>1</v>
      </c>
      <c r="E4" t="str">
        <f>VLOOKUP(C4,GoiChup!$A$1:$C$8,2,FALSE)</f>
        <v>Chup be yeu</v>
      </c>
      <c r="F4">
        <f>VLOOKUP(C4,GoiChup!$A$1:$C$8,3,FALSE)</f>
        <v>900000</v>
      </c>
      <c r="G4">
        <f t="shared" si="0"/>
        <v>900000</v>
      </c>
    </row>
    <row r="5" spans="1:7" hidden="1">
      <c r="A5" t="s">
        <v>16</v>
      </c>
      <c r="B5" t="s">
        <v>17</v>
      </c>
      <c r="C5" t="s">
        <v>12</v>
      </c>
      <c r="D5">
        <v>1</v>
      </c>
      <c r="E5" t="str">
        <f>VLOOKUP(C5,GoiChup!$A$1:$C$8,2,FALSE)</f>
        <v>Chup anh the</v>
      </c>
      <c r="F5">
        <f>VLOOKUP(C5,GoiChup!$A$1:$C$8,3,FALSE)</f>
        <v>50000</v>
      </c>
      <c r="G5">
        <f t="shared" si="0"/>
        <v>50000</v>
      </c>
    </row>
    <row r="6" spans="1:7">
      <c r="A6" t="s">
        <v>18</v>
      </c>
      <c r="B6" t="s">
        <v>19</v>
      </c>
      <c r="C6" t="s">
        <v>15</v>
      </c>
      <c r="D6">
        <v>5</v>
      </c>
      <c r="E6" t="str">
        <f>VLOOKUP(C6,GoiChup!$A$1:$C$8,2,FALSE)</f>
        <v>Chup be yeu</v>
      </c>
      <c r="F6">
        <f>VLOOKUP(C6,GoiChup!$A$1:$C$8,3,FALSE)</f>
        <v>900000</v>
      </c>
      <c r="G6">
        <f t="shared" si="0"/>
        <v>4500000</v>
      </c>
    </row>
    <row r="7" spans="1:7" hidden="1">
      <c r="A7" t="s">
        <v>20</v>
      </c>
      <c r="B7" t="s">
        <v>21</v>
      </c>
      <c r="C7" t="s">
        <v>12</v>
      </c>
      <c r="D7">
        <v>2</v>
      </c>
      <c r="E7" t="str">
        <f>VLOOKUP(C7,GoiChup!$A$1:$C$8,2,FALSE)</f>
        <v>Chup anh the</v>
      </c>
      <c r="F7">
        <f>VLOOKUP(C7,GoiChup!$A$1:$C$8,3,FALSE)</f>
        <v>50000</v>
      </c>
      <c r="G7">
        <f t="shared" si="0"/>
        <v>100000</v>
      </c>
    </row>
    <row r="8" spans="1:7">
      <c r="A8" t="s">
        <v>22</v>
      </c>
      <c r="B8" t="s">
        <v>23</v>
      </c>
      <c r="C8" t="s">
        <v>24</v>
      </c>
      <c r="D8">
        <v>5</v>
      </c>
      <c r="E8" t="str">
        <f>VLOOKUP(C8,GoiChup!$A$1:$C$8,2,FALSE)</f>
        <v>Chup gia dinh</v>
      </c>
      <c r="F8">
        <f>VLOOKUP(C8,GoiChup!$A$1:$C$8,3,FALSE)</f>
        <v>1500000</v>
      </c>
      <c r="G8">
        <f t="shared" si="0"/>
        <v>7500000</v>
      </c>
    </row>
    <row r="9" spans="1:7" hidden="1">
      <c r="A9" t="s">
        <v>25</v>
      </c>
      <c r="B9" t="s">
        <v>26</v>
      </c>
      <c r="C9" t="s">
        <v>12</v>
      </c>
      <c r="D9">
        <v>5</v>
      </c>
      <c r="E9" t="str">
        <f>VLOOKUP(C9,GoiChup!$A$1:$C$8,2,FALSE)</f>
        <v>Chup anh the</v>
      </c>
      <c r="F9">
        <f>VLOOKUP(C9,GoiChup!$A$1:$C$8,3,FALSE)</f>
        <v>50000</v>
      </c>
      <c r="G9">
        <f t="shared" si="0"/>
        <v>250000</v>
      </c>
    </row>
    <row r="10" spans="1:7">
      <c r="A10" t="s">
        <v>27</v>
      </c>
      <c r="B10" t="s">
        <v>28</v>
      </c>
      <c r="C10" t="s">
        <v>29</v>
      </c>
      <c r="D10">
        <v>3</v>
      </c>
      <c r="E10" t="str">
        <f>VLOOKUP(C10,GoiChup!$A$1:$C$8,2,FALSE)</f>
        <v>Chup ky yeu lop</v>
      </c>
      <c r="F10">
        <f>VLOOKUP(C10,GoiChup!$A$1:$C$8,3,FALSE)</f>
        <v>1200000</v>
      </c>
      <c r="G10">
        <f t="shared" si="0"/>
        <v>3600000</v>
      </c>
    </row>
    <row r="11" spans="1:7" hidden="1">
      <c r="A11" t="s">
        <v>30</v>
      </c>
      <c r="B11" t="s">
        <v>31</v>
      </c>
      <c r="C11" t="s">
        <v>29</v>
      </c>
      <c r="D11">
        <v>1</v>
      </c>
      <c r="E11" t="str">
        <f>VLOOKUP(C11,GoiChup!$A$1:$C$8,2,FALSE)</f>
        <v>Chup ky yeu lop</v>
      </c>
      <c r="F11">
        <f>VLOOKUP(C11,GoiChup!$A$1:$C$8,3,FALSE)</f>
        <v>1200000</v>
      </c>
      <c r="G11">
        <f t="shared" si="0"/>
        <v>1200000</v>
      </c>
    </row>
    <row r="12" spans="1:7" hidden="1">
      <c r="A12" t="s">
        <v>32</v>
      </c>
      <c r="B12" t="s">
        <v>33</v>
      </c>
      <c r="C12" t="s">
        <v>34</v>
      </c>
      <c r="D12">
        <v>1</v>
      </c>
      <c r="E12" t="str">
        <f>VLOOKUP(C12,GoiChup!$A$1:$C$8,2,FALSE)</f>
        <v>Chup san pham</v>
      </c>
      <c r="F12">
        <f>VLOOKUP(C12,GoiChup!$A$1:$C$8,3,FALSE)</f>
        <v>600000</v>
      </c>
      <c r="G12">
        <f t="shared" si="0"/>
        <v>600000</v>
      </c>
    </row>
    <row r="13" spans="1:7">
      <c r="A13" t="s">
        <v>35</v>
      </c>
      <c r="B13" t="s">
        <v>36</v>
      </c>
      <c r="C13" t="s">
        <v>29</v>
      </c>
      <c r="D13">
        <v>2</v>
      </c>
      <c r="E13" t="str">
        <f>VLOOKUP(C13,GoiChup!$A$1:$C$8,2,FALSE)</f>
        <v>Chup ky yeu lop</v>
      </c>
      <c r="F13">
        <f>VLOOKUP(C13,GoiChup!$A$1:$C$8,3,FALSE)</f>
        <v>1200000</v>
      </c>
      <c r="G13">
        <f t="shared" si="0"/>
        <v>2400000</v>
      </c>
    </row>
    <row r="14" spans="1:7">
      <c r="A14" t="s">
        <v>37</v>
      </c>
      <c r="B14" t="s">
        <v>38</v>
      </c>
      <c r="C14" t="s">
        <v>39</v>
      </c>
      <c r="D14">
        <v>3</v>
      </c>
      <c r="E14" t="str">
        <f>VLOOKUP(C14,GoiChup!$A$1:$C$8,2,FALSE)</f>
        <v>Chup cuoi trong studio</v>
      </c>
      <c r="F14">
        <f>VLOOKUP(C14,GoiChup!$A$1:$C$8,3,FALSE)</f>
        <v>2500000</v>
      </c>
      <c r="G14">
        <f t="shared" si="0"/>
        <v>7500000</v>
      </c>
    </row>
    <row r="15" spans="1:7">
      <c r="A15" t="s">
        <v>40</v>
      </c>
      <c r="B15" t="s">
        <v>41</v>
      </c>
      <c r="C15" t="s">
        <v>15</v>
      </c>
      <c r="D15">
        <v>4</v>
      </c>
      <c r="E15" t="str">
        <f>VLOOKUP(C15,GoiChup!$A$1:$C$8,2,FALSE)</f>
        <v>Chup be yeu</v>
      </c>
      <c r="F15">
        <f>VLOOKUP(C15,GoiChup!$A$1:$C$8,3,FALSE)</f>
        <v>900000</v>
      </c>
      <c r="G15">
        <f t="shared" si="0"/>
        <v>3600000</v>
      </c>
    </row>
    <row r="16" spans="1:7">
      <c r="A16" t="s">
        <v>42</v>
      </c>
      <c r="B16" t="s">
        <v>43</v>
      </c>
      <c r="C16" t="s">
        <v>39</v>
      </c>
      <c r="D16">
        <v>2</v>
      </c>
      <c r="E16" t="str">
        <f>VLOOKUP(C16,GoiChup!$A$1:$C$8,2,FALSE)</f>
        <v>Chup cuoi trong studio</v>
      </c>
      <c r="F16">
        <f>VLOOKUP(C16,GoiChup!$A$1:$C$8,3,FALSE)</f>
        <v>2500000</v>
      </c>
      <c r="G16">
        <f t="shared" si="0"/>
        <v>5000000</v>
      </c>
    </row>
  </sheetData>
  <autoFilter ref="A1:G16" xr:uid="{00000000-0001-0000-0000-000000000000}">
    <filterColumn colId="6">
      <customFilters>
        <customFilter operator="greaterThanOrEqual" val="24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800000</v>
      </c>
    </row>
    <row r="3" spans="1:3">
      <c r="A3" t="s">
        <v>29</v>
      </c>
      <c r="B3" t="s">
        <v>45</v>
      </c>
      <c r="C3">
        <v>1200000</v>
      </c>
    </row>
    <row r="4" spans="1:3">
      <c r="A4" t="s">
        <v>24</v>
      </c>
      <c r="B4" t="s">
        <v>46</v>
      </c>
      <c r="C4">
        <v>1500000</v>
      </c>
    </row>
    <row r="5" spans="1:3">
      <c r="A5" t="s">
        <v>34</v>
      </c>
      <c r="B5" t="s">
        <v>47</v>
      </c>
      <c r="C5">
        <v>600000</v>
      </c>
    </row>
    <row r="6" spans="1:3">
      <c r="A6" t="s">
        <v>12</v>
      </c>
      <c r="B6" t="s">
        <v>48</v>
      </c>
      <c r="C6">
        <v>50000</v>
      </c>
    </row>
    <row r="7" spans="1:3">
      <c r="A7" t="s">
        <v>15</v>
      </c>
      <c r="B7" t="s">
        <v>49</v>
      </c>
      <c r="C7">
        <v>900000</v>
      </c>
    </row>
    <row r="8" spans="1:3">
      <c r="A8" t="s">
        <v>39</v>
      </c>
      <c r="B8" t="s">
        <v>50</v>
      </c>
      <c r="C8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huy nguyenthe</cp:lastModifiedBy>
  <cp:revision/>
  <dcterms:created xsi:type="dcterms:W3CDTF">2026-10-27T01:32:18Z</dcterms:created>
  <dcterms:modified xsi:type="dcterms:W3CDTF">2026-10-28T04:35:42Z</dcterms:modified>
  <cp:category/>
  <cp:contentStatus/>
</cp:coreProperties>
</file>